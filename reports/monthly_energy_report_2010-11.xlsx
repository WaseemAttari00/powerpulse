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Hourly load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&quot;#,##0.00"/>
    <numFmt numFmtId="165" formatCode="yyyy-mm-dd"/>
    <numFmt numFmtId="166" formatCode="0.000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0" pivotButton="0" quotePrefix="0" xfId="0"/>
    <xf numFmtId="4" fontId="3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4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power by hour of day</a:t>
            </a:r>
          </a:p>
        </rich>
      </tx>
    </title>
    <plotArea>
      <lineChart>
        <grouping val="standard"/>
        <ser>
          <idx val="0"/>
          <order val="0"/>
          <tx>
            <strRef>
              <f>'Hourly load 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'Hourly load curve'!$A$2:$A$25</f>
            </numRef>
          </cat>
          <val>
            <numRef>
              <f>'Hourly load curve'!$B$2:$B$25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active power (kW)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Monthly Energy Report — 2010-11</t>
        </is>
      </c>
    </row>
    <row r="3">
      <c r="A3" s="2" t="inlineStr">
        <is>
          <t>Tariff parameters</t>
        </is>
      </c>
    </row>
    <row r="4">
      <c r="A4" t="inlineStr">
        <is>
          <t>Peak rate (€/kWh)</t>
        </is>
      </c>
      <c r="B4" s="3" t="n">
        <v>0.2</v>
      </c>
    </row>
    <row r="5">
      <c r="A5" t="inlineStr">
        <is>
          <t>Off-peak rate (€/kWh)</t>
        </is>
      </c>
      <c r="B5" s="3" t="n">
        <v>0.12</v>
      </c>
    </row>
    <row r="7">
      <c r="A7" s="2" t="inlineStr">
        <is>
          <t>Key metrics</t>
        </is>
      </c>
    </row>
    <row r="8">
      <c r="A8" s="2" t="inlineStr">
        <is>
          <t>Total energy (kWh)</t>
        </is>
      </c>
      <c r="B8" s="4">
        <f>SUM('Daily breakdown'!B2:B27)</f>
        <v/>
      </c>
    </row>
    <row r="9">
      <c r="A9" s="2" t="inlineStr">
        <is>
          <t>Peak-hour energy (kWh)</t>
        </is>
      </c>
      <c r="B9" s="4">
        <f>SUM('Daily breakdown'!C2:C27)</f>
        <v/>
      </c>
    </row>
    <row r="10">
      <c r="A10" s="2" t="inlineStr">
        <is>
          <t>Off-peak energy (kWh)</t>
        </is>
      </c>
      <c r="B10" s="4">
        <f>SUM('Daily breakdown'!D2:D27)</f>
        <v/>
      </c>
    </row>
    <row r="11">
      <c r="A11" s="2" t="inlineStr">
        <is>
          <t>Average daily energy (kWh)</t>
        </is>
      </c>
      <c r="B11" s="4">
        <f>AVERAGE('Daily breakdown'!B2:B27)</f>
        <v/>
      </c>
    </row>
    <row r="12">
      <c r="A12" s="2" t="inlineStr">
        <is>
          <t>Peak day (kWh)</t>
        </is>
      </c>
      <c r="B12" s="4">
        <f>MAX('Daily breakdown'!B2:B27)</f>
        <v/>
      </c>
    </row>
    <row r="13">
      <c r="A13" s="2" t="inlineStr">
        <is>
          <t>Peak day date</t>
        </is>
      </c>
      <c r="B13" s="5">
        <f>INDEX('Daily breakdown'!A2:A27,MATCH(MAX('Daily breakdown'!B2:B27),'Daily breakdown'!B2:B27,0))</f>
        <v/>
      </c>
    </row>
    <row r="14">
      <c r="A14" s="2" t="inlineStr">
        <is>
          <t>Total cost (€)</t>
        </is>
      </c>
      <c r="B14" s="6">
        <f>SUM('Daily breakdown'!C2:C27)*$B$4 + SUM('Daily breakdown'!D2:D27)*$B$5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7" t="inlineStr">
        <is>
          <t>Date</t>
        </is>
      </c>
      <c r="B1" s="7" t="inlineStr">
        <is>
          <t>Total kWh</t>
        </is>
      </c>
      <c r="C1" s="7" t="inlineStr">
        <is>
          <t>Peak kWh</t>
        </is>
      </c>
      <c r="D1" s="7" t="inlineStr">
        <is>
          <t>Off-peak kWh</t>
        </is>
      </c>
      <c r="E1" s="7" t="inlineStr">
        <is>
          <t>Daily cost (€)</t>
        </is>
      </c>
    </row>
    <row r="2">
      <c r="A2" s="8" t="n">
        <v>40483</v>
      </c>
      <c r="B2" s="9" t="n">
        <v>23.053</v>
      </c>
      <c r="C2" s="9" t="n">
        <v>14.261</v>
      </c>
      <c r="D2" s="9" t="n">
        <v>8.792</v>
      </c>
      <c r="E2" s="10">
        <f>C2*Summary!$B$4 + D2*Summary!$B$5</f>
        <v/>
      </c>
    </row>
    <row r="3">
      <c r="A3" s="8" t="n">
        <v>40484</v>
      </c>
      <c r="B3" s="9" t="n">
        <v>19.851</v>
      </c>
      <c r="C3" s="9" t="n">
        <v>10.906</v>
      </c>
      <c r="D3" s="9" t="n">
        <v>8.946</v>
      </c>
      <c r="E3" s="10">
        <f>C3*Summary!$B$4 + D3*Summary!$B$5</f>
        <v/>
      </c>
    </row>
    <row r="4">
      <c r="A4" s="8" t="n">
        <v>40485</v>
      </c>
      <c r="B4" s="9" t="n">
        <v>21.555</v>
      </c>
      <c r="C4" s="9" t="n">
        <v>16.536</v>
      </c>
      <c r="D4" s="9" t="n">
        <v>5.019</v>
      </c>
      <c r="E4" s="10">
        <f>C4*Summary!$B$4 + D4*Summary!$B$5</f>
        <v/>
      </c>
    </row>
    <row r="5">
      <c r="A5" s="8" t="n">
        <v>40486</v>
      </c>
      <c r="B5" s="9" t="n">
        <v>42.586</v>
      </c>
      <c r="C5" s="9" t="n">
        <v>36.819</v>
      </c>
      <c r="D5" s="9" t="n">
        <v>5.767</v>
      </c>
      <c r="E5" s="10">
        <f>C5*Summary!$B$4 + D5*Summary!$B$5</f>
        <v/>
      </c>
    </row>
    <row r="6">
      <c r="A6" s="8" t="n">
        <v>40487</v>
      </c>
      <c r="B6" s="9" t="n">
        <v>28.935</v>
      </c>
      <c r="C6" s="9" t="n">
        <v>24.793</v>
      </c>
      <c r="D6" s="9" t="n">
        <v>4.142</v>
      </c>
      <c r="E6" s="10">
        <f>C6*Summary!$B$4 + D6*Summary!$B$5</f>
        <v/>
      </c>
    </row>
    <row r="7">
      <c r="A7" s="8" t="n">
        <v>40488</v>
      </c>
      <c r="B7" s="9" t="n">
        <v>30.09</v>
      </c>
      <c r="C7" s="9" t="n">
        <v>25.591</v>
      </c>
      <c r="D7" s="9" t="n">
        <v>4.499</v>
      </c>
      <c r="E7" s="10">
        <f>C7*Summary!$B$4 + D7*Summary!$B$5</f>
        <v/>
      </c>
    </row>
    <row r="8">
      <c r="A8" s="8" t="n">
        <v>40489</v>
      </c>
      <c r="B8" s="9" t="n">
        <v>27.897</v>
      </c>
      <c r="C8" s="9" t="n">
        <v>23.701</v>
      </c>
      <c r="D8" s="9" t="n">
        <v>4.196</v>
      </c>
      <c r="E8" s="10">
        <f>C8*Summary!$B$4 + D8*Summary!$B$5</f>
        <v/>
      </c>
    </row>
    <row r="9">
      <c r="A9" s="8" t="n">
        <v>40490</v>
      </c>
      <c r="B9" s="9" t="n">
        <v>30.426</v>
      </c>
      <c r="C9" s="9" t="n">
        <v>25.293</v>
      </c>
      <c r="D9" s="9" t="n">
        <v>5.132</v>
      </c>
      <c r="E9" s="10">
        <f>C9*Summary!$B$4 + D9*Summary!$B$5</f>
        <v/>
      </c>
    </row>
    <row r="10">
      <c r="A10" s="8" t="n">
        <v>40491</v>
      </c>
      <c r="B10" s="9" t="n">
        <v>33.702</v>
      </c>
      <c r="C10" s="9" t="n">
        <v>28.074</v>
      </c>
      <c r="D10" s="9" t="n">
        <v>5.628</v>
      </c>
      <c r="E10" s="10">
        <f>C10*Summary!$B$4 + D10*Summary!$B$5</f>
        <v/>
      </c>
    </row>
    <row r="11">
      <c r="A11" s="8" t="n">
        <v>40492</v>
      </c>
      <c r="B11" s="9" t="n">
        <v>32.442</v>
      </c>
      <c r="C11" s="9" t="n">
        <v>28.333</v>
      </c>
      <c r="D11" s="9" t="n">
        <v>4.109</v>
      </c>
      <c r="E11" s="10">
        <f>C11*Summary!$B$4 + D11*Summary!$B$5</f>
        <v/>
      </c>
    </row>
    <row r="12">
      <c r="A12" s="8" t="n">
        <v>40493</v>
      </c>
      <c r="B12" s="9" t="n">
        <v>29.56</v>
      </c>
      <c r="C12" s="9" t="n">
        <v>26.485</v>
      </c>
      <c r="D12" s="9" t="n">
        <v>3.075</v>
      </c>
      <c r="E12" s="10">
        <f>C12*Summary!$B$4 + D12*Summary!$B$5</f>
        <v/>
      </c>
    </row>
    <row r="13">
      <c r="A13" s="8" t="n">
        <v>40494</v>
      </c>
      <c r="B13" s="9" t="n">
        <v>30.614</v>
      </c>
      <c r="C13" s="9" t="n">
        <v>27.265</v>
      </c>
      <c r="D13" s="9" t="n">
        <v>3.348</v>
      </c>
      <c r="E13" s="10">
        <f>C13*Summary!$B$4 + D13*Summary!$B$5</f>
        <v/>
      </c>
    </row>
    <row r="14">
      <c r="A14" s="8" t="n">
        <v>40495</v>
      </c>
      <c r="B14" s="9" t="n">
        <v>33.72</v>
      </c>
      <c r="C14" s="9" t="n">
        <v>27.424</v>
      </c>
      <c r="D14" s="9" t="n">
        <v>6.295</v>
      </c>
      <c r="E14" s="10">
        <f>C14*Summary!$B$4 + D14*Summary!$B$5</f>
        <v/>
      </c>
    </row>
    <row r="15">
      <c r="A15" s="8" t="n">
        <v>40496</v>
      </c>
      <c r="B15" s="9" t="n">
        <v>33.973</v>
      </c>
      <c r="C15" s="9" t="n">
        <v>26.964</v>
      </c>
      <c r="D15" s="9" t="n">
        <v>7.01</v>
      </c>
      <c r="E15" s="10">
        <f>C15*Summary!$B$4 + D15*Summary!$B$5</f>
        <v/>
      </c>
    </row>
    <row r="16">
      <c r="A16" s="8" t="n">
        <v>40497</v>
      </c>
      <c r="B16" s="9" t="n">
        <v>29.123</v>
      </c>
      <c r="C16" s="9" t="n">
        <v>24.876</v>
      </c>
      <c r="D16" s="9" t="n">
        <v>4.247</v>
      </c>
      <c r="E16" s="10">
        <f>C16*Summary!$B$4 + D16*Summary!$B$5</f>
        <v/>
      </c>
    </row>
    <row r="17">
      <c r="A17" s="8" t="n">
        <v>40498</v>
      </c>
      <c r="B17" s="9" t="n">
        <v>25.162</v>
      </c>
      <c r="C17" s="9" t="n">
        <v>21.346</v>
      </c>
      <c r="D17" s="9" t="n">
        <v>3.817</v>
      </c>
      <c r="E17" s="10">
        <f>C17*Summary!$B$4 + D17*Summary!$B$5</f>
        <v/>
      </c>
    </row>
    <row r="18">
      <c r="A18" s="8" t="n">
        <v>40499</v>
      </c>
      <c r="B18" s="9" t="n">
        <v>26.367</v>
      </c>
      <c r="C18" s="9" t="n">
        <v>22.028</v>
      </c>
      <c r="D18" s="9" t="n">
        <v>4.339</v>
      </c>
      <c r="E18" s="10">
        <f>C18*Summary!$B$4 + D18*Summary!$B$5</f>
        <v/>
      </c>
    </row>
    <row r="19">
      <c r="A19" s="8" t="n">
        <v>40500</v>
      </c>
      <c r="B19" s="9" t="n">
        <v>27.536</v>
      </c>
      <c r="C19" s="9" t="n">
        <v>22.924</v>
      </c>
      <c r="D19" s="9" t="n">
        <v>4.612</v>
      </c>
      <c r="E19" s="10">
        <f>C19*Summary!$B$4 + D19*Summary!$B$5</f>
        <v/>
      </c>
    </row>
    <row r="20">
      <c r="A20" s="8" t="n">
        <v>40501</v>
      </c>
      <c r="B20" s="9" t="n">
        <v>26.173</v>
      </c>
      <c r="C20" s="9" t="n">
        <v>22.745</v>
      </c>
      <c r="D20" s="9" t="n">
        <v>3.428</v>
      </c>
      <c r="E20" s="10">
        <f>C20*Summary!$B$4 + D20*Summary!$B$5</f>
        <v/>
      </c>
    </row>
    <row r="21">
      <c r="A21" s="8" t="n">
        <v>40502</v>
      </c>
      <c r="B21" s="9" t="n">
        <v>36.617</v>
      </c>
      <c r="C21" s="9" t="n">
        <v>32.08</v>
      </c>
      <c r="D21" s="9" t="n">
        <v>4.536</v>
      </c>
      <c r="E21" s="10">
        <f>C21*Summary!$B$4 + D21*Summary!$B$5</f>
        <v/>
      </c>
    </row>
    <row r="22">
      <c r="A22" s="8" t="n">
        <v>40503</v>
      </c>
      <c r="B22" s="9" t="n">
        <v>15.015</v>
      </c>
      <c r="C22" s="9" t="n">
        <v>10.543</v>
      </c>
      <c r="D22" s="9" t="n">
        <v>4.472</v>
      </c>
      <c r="E22" s="10">
        <f>C22*Summary!$B$4 + D22*Summary!$B$5</f>
        <v/>
      </c>
    </row>
    <row r="23">
      <c r="A23" s="8" t="n">
        <v>40504</v>
      </c>
      <c r="B23" s="9" t="n">
        <v>34.026</v>
      </c>
      <c r="C23" s="9" t="n">
        <v>30.678</v>
      </c>
      <c r="D23" s="9" t="n">
        <v>3.348</v>
      </c>
      <c r="E23" s="10">
        <f>C23*Summary!$B$4 + D23*Summary!$B$5</f>
        <v/>
      </c>
    </row>
    <row r="24">
      <c r="A24" s="8" t="n">
        <v>40505</v>
      </c>
      <c r="B24" s="9" t="n">
        <v>26.292</v>
      </c>
      <c r="C24" s="9" t="n">
        <v>23.005</v>
      </c>
      <c r="D24" s="9" t="n">
        <v>3.287</v>
      </c>
      <c r="E24" s="10">
        <f>C24*Summary!$B$4 + D24*Summary!$B$5</f>
        <v/>
      </c>
    </row>
    <row r="25">
      <c r="A25" s="8" t="n">
        <v>40506</v>
      </c>
      <c r="B25" s="9" t="n">
        <v>29.937</v>
      </c>
      <c r="C25" s="9" t="n">
        <v>26.681</v>
      </c>
      <c r="D25" s="9" t="n">
        <v>3.257</v>
      </c>
      <c r="E25" s="10">
        <f>C25*Summary!$B$4 + D25*Summary!$B$5</f>
        <v/>
      </c>
    </row>
    <row r="26">
      <c r="A26" s="8" t="n">
        <v>40507</v>
      </c>
      <c r="B26" s="9" t="n">
        <v>23.853</v>
      </c>
      <c r="C26" s="9" t="n">
        <v>19.195</v>
      </c>
      <c r="D26" s="9" t="n">
        <v>4.657</v>
      </c>
      <c r="E26" s="10">
        <f>C26*Summary!$B$4 + D26*Summary!$B$5</f>
        <v/>
      </c>
    </row>
    <row r="27">
      <c r="A27" s="8" t="n">
        <v>40508</v>
      </c>
      <c r="B27" s="9" t="n">
        <v>24.802</v>
      </c>
      <c r="C27" s="9" t="n">
        <v>23.058</v>
      </c>
      <c r="D27" s="9" t="n">
        <v>1.744</v>
      </c>
      <c r="E27" s="10">
        <f>C27*Summary!$B$4 + D27*Summary!$B$5</f>
        <v/>
      </c>
    </row>
    <row r="28">
      <c r="A28" s="2" t="inlineStr">
        <is>
          <t>Total</t>
        </is>
      </c>
      <c r="B28" s="11">
        <f>SUM(B2:B27)</f>
        <v/>
      </c>
      <c r="C28" s="11">
        <f>SUM(C2:C27)</f>
        <v/>
      </c>
      <c r="D28" s="11">
        <f>SUM(D2:D27)</f>
        <v/>
      </c>
      <c r="E28" s="12">
        <f>SUM(E2:E27)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3" t="inlineStr">
        <is>
          <t>Hour of day</t>
        </is>
      </c>
      <c r="B1" s="13" t="inlineStr">
        <is>
          <t>Average active power (kW)</t>
        </is>
      </c>
    </row>
    <row r="2">
      <c r="A2" t="n">
        <v>0</v>
      </c>
      <c r="B2" s="14" t="n">
        <v>0.574</v>
      </c>
    </row>
    <row r="3">
      <c r="A3" t="n">
        <v>1</v>
      </c>
      <c r="B3" s="14" t="n">
        <v>0.52</v>
      </c>
    </row>
    <row r="4">
      <c r="A4" t="n">
        <v>2</v>
      </c>
      <c r="B4" s="14" t="n">
        <v>0.542</v>
      </c>
    </row>
    <row r="5">
      <c r="A5" t="n">
        <v>3</v>
      </c>
      <c r="B5" s="14" t="n">
        <v>0.447</v>
      </c>
    </row>
    <row r="6">
      <c r="A6" t="n">
        <v>4</v>
      </c>
      <c r="B6" s="14" t="n">
        <v>0.415</v>
      </c>
    </row>
    <row r="7">
      <c r="A7" t="n">
        <v>5</v>
      </c>
      <c r="B7" s="14" t="n">
        <v>0.402</v>
      </c>
    </row>
    <row r="8">
      <c r="A8" t="n">
        <v>6</v>
      </c>
      <c r="B8" s="14" t="n">
        <v>0.778</v>
      </c>
    </row>
    <row r="9">
      <c r="A9" t="n">
        <v>7</v>
      </c>
      <c r="B9" s="14" t="n">
        <v>2.088</v>
      </c>
    </row>
    <row r="10">
      <c r="A10" t="n">
        <v>8</v>
      </c>
      <c r="B10" s="14" t="n">
        <v>1.678</v>
      </c>
    </row>
    <row r="11">
      <c r="A11" t="n">
        <v>9</v>
      </c>
      <c r="B11" s="14" t="n">
        <v>1.477</v>
      </c>
    </row>
    <row r="12">
      <c r="A12" t="n">
        <v>10</v>
      </c>
      <c r="B12" s="14" t="n">
        <v>1.441</v>
      </c>
    </row>
    <row r="13">
      <c r="A13" t="n">
        <v>11</v>
      </c>
      <c r="B13" s="14" t="n">
        <v>1.551</v>
      </c>
    </row>
    <row r="14">
      <c r="A14" t="n">
        <v>12</v>
      </c>
      <c r="B14" s="14" t="n">
        <v>1.356</v>
      </c>
    </row>
    <row r="15">
      <c r="A15" t="n">
        <v>13</v>
      </c>
      <c r="B15" s="14" t="n">
        <v>1.324</v>
      </c>
    </row>
    <row r="16">
      <c r="A16" t="n">
        <v>14</v>
      </c>
      <c r="B16" s="14" t="n">
        <v>1.074</v>
      </c>
    </row>
    <row r="17">
      <c r="A17" t="n">
        <v>15</v>
      </c>
      <c r="B17" s="14" t="n">
        <v>1.206</v>
      </c>
    </row>
    <row r="18">
      <c r="A18" t="n">
        <v>16</v>
      </c>
      <c r="B18" s="14" t="n">
        <v>1.107</v>
      </c>
    </row>
    <row r="19">
      <c r="A19" t="n">
        <v>17</v>
      </c>
      <c r="B19" s="14" t="n">
        <v>1.341</v>
      </c>
    </row>
    <row r="20">
      <c r="A20" t="n">
        <v>18</v>
      </c>
      <c r="B20" s="14" t="n">
        <v>1.901</v>
      </c>
    </row>
    <row r="21">
      <c r="A21" t="n">
        <v>19</v>
      </c>
      <c r="B21" s="14" t="n">
        <v>1.883</v>
      </c>
    </row>
    <row r="22">
      <c r="A22" t="n">
        <v>20</v>
      </c>
      <c r="B22" s="14" t="n">
        <v>1.975</v>
      </c>
    </row>
    <row r="23">
      <c r="A23" t="n">
        <v>21</v>
      </c>
      <c r="B23" s="14" t="n">
        <v>1.791</v>
      </c>
    </row>
    <row r="24">
      <c r="A24" t="n">
        <v>22</v>
      </c>
      <c r="B24" s="14" t="n">
        <v>1.138</v>
      </c>
    </row>
    <row r="25">
      <c r="A25" t="n">
        <v>23</v>
      </c>
      <c r="B25" s="14" t="n">
        <v>0.713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2026-05-17T02:05:09Z</dcterms:created>
  <dcterms:modified xsi:type="dcterms:W3CDTF">2026-05-17T02:05:09Z</dcterms:modified>
</cp:coreProperties>
</file>