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breakdown" sheetId="2" state="visible" r:id="rId2"/>
    <sheet name="Hourly load cu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€&quot;#,##0.00"/>
    <numFmt numFmtId="165" formatCode="yyyy-mm-dd"/>
    <numFmt numFmtId="166" formatCode="0.000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2" borderId="0" pivotButton="0" quotePrefix="0" xfId="0"/>
    <xf numFmtId="4" fontId="3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3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0" fontId="4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power by hour of day</a:t>
            </a:r>
          </a:p>
        </rich>
      </tx>
    </title>
    <plotArea>
      <lineChart>
        <grouping val="standard"/>
        <ser>
          <idx val="0"/>
          <order val="0"/>
          <tx>
            <strRef>
              <f>'Hourly load 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'Hourly load curve'!$A$2:$A$25</f>
            </numRef>
          </cat>
          <val>
            <numRef>
              <f>'Hourly load curve'!$B$2:$B$25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active power (kW)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Monthly Energy Report — 2009-11</t>
        </is>
      </c>
    </row>
    <row r="3">
      <c r="A3" s="2" t="inlineStr">
        <is>
          <t>Tariff parameters</t>
        </is>
      </c>
    </row>
    <row r="4">
      <c r="A4" t="inlineStr">
        <is>
          <t>Peak rate (€/kWh)</t>
        </is>
      </c>
      <c r="B4" s="3" t="n">
        <v>0.2</v>
      </c>
    </row>
    <row r="5">
      <c r="A5" t="inlineStr">
        <is>
          <t>Off-peak rate (€/kWh)</t>
        </is>
      </c>
      <c r="B5" s="3" t="n">
        <v>0.12</v>
      </c>
    </row>
    <row r="7">
      <c r="A7" s="2" t="inlineStr">
        <is>
          <t>Key metrics</t>
        </is>
      </c>
    </row>
    <row r="8">
      <c r="A8" s="2" t="inlineStr">
        <is>
          <t>Total energy (kWh)</t>
        </is>
      </c>
      <c r="B8" s="4">
        <f>SUM('Daily breakdown'!B2:B31)</f>
        <v/>
      </c>
    </row>
    <row r="9">
      <c r="A9" s="2" t="inlineStr">
        <is>
          <t>Peak-hour energy (kWh)</t>
        </is>
      </c>
      <c r="B9" s="4">
        <f>SUM('Daily breakdown'!C2:C31)</f>
        <v/>
      </c>
    </row>
    <row r="10">
      <c r="A10" s="2" t="inlineStr">
        <is>
          <t>Off-peak energy (kWh)</t>
        </is>
      </c>
      <c r="B10" s="4">
        <f>SUM('Daily breakdown'!D2:D31)</f>
        <v/>
      </c>
    </row>
    <row r="11">
      <c r="A11" s="2" t="inlineStr">
        <is>
          <t>Average daily energy (kWh)</t>
        </is>
      </c>
      <c r="B11" s="4">
        <f>AVERAGE('Daily breakdown'!B2:B31)</f>
        <v/>
      </c>
    </row>
    <row r="12">
      <c r="A12" s="2" t="inlineStr">
        <is>
          <t>Peak day (kWh)</t>
        </is>
      </c>
      <c r="B12" s="4">
        <f>MAX('Daily breakdown'!B2:B31)</f>
        <v/>
      </c>
    </row>
    <row r="13">
      <c r="A13" s="2" t="inlineStr">
        <is>
          <t>Peak day date</t>
        </is>
      </c>
      <c r="B13" s="5">
        <f>INDEX('Daily breakdown'!A2:A31,MATCH(MAX('Daily breakdown'!B2:B31),'Daily breakdown'!B2:B31,0))</f>
        <v/>
      </c>
    </row>
    <row r="14">
      <c r="A14" s="2" t="inlineStr">
        <is>
          <t>Total cost (€)</t>
        </is>
      </c>
      <c r="B14" s="6">
        <f>SUM('Daily breakdown'!C2:C31)*$B$4 + SUM('Daily breakdown'!D2:D31)*$B$5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6" customWidth="1" min="5" max="5"/>
  </cols>
  <sheetData>
    <row r="1">
      <c r="A1" s="7" t="inlineStr">
        <is>
          <t>Date</t>
        </is>
      </c>
      <c r="B1" s="7" t="inlineStr">
        <is>
          <t>Total kWh</t>
        </is>
      </c>
      <c r="C1" s="7" t="inlineStr">
        <is>
          <t>Peak kWh</t>
        </is>
      </c>
      <c r="D1" s="7" t="inlineStr">
        <is>
          <t>Off-peak kWh</t>
        </is>
      </c>
      <c r="E1" s="7" t="inlineStr">
        <is>
          <t>Daily cost (€)</t>
        </is>
      </c>
    </row>
    <row r="2">
      <c r="A2" s="8" t="n">
        <v>40118</v>
      </c>
      <c r="B2" s="9" t="n">
        <v>30.719</v>
      </c>
      <c r="C2" s="9" t="n">
        <v>24.42</v>
      </c>
      <c r="D2" s="9" t="n">
        <v>6.299</v>
      </c>
      <c r="E2" s="10">
        <f>C2*Summary!$B$4 + D2*Summary!$B$5</f>
        <v/>
      </c>
    </row>
    <row r="3">
      <c r="A3" s="8" t="n">
        <v>40119</v>
      </c>
      <c r="B3" s="9" t="n">
        <v>25.07</v>
      </c>
      <c r="C3" s="9" t="n">
        <v>20.009</v>
      </c>
      <c r="D3" s="9" t="n">
        <v>5.062</v>
      </c>
      <c r="E3" s="10">
        <f>C3*Summary!$B$4 + D3*Summary!$B$5</f>
        <v/>
      </c>
    </row>
    <row r="4">
      <c r="A4" s="8" t="n">
        <v>40120</v>
      </c>
      <c r="B4" s="9" t="n">
        <v>37.778</v>
      </c>
      <c r="C4" s="9" t="n">
        <v>32.292</v>
      </c>
      <c r="D4" s="9" t="n">
        <v>5.486</v>
      </c>
      <c r="E4" s="10">
        <f>C4*Summary!$B$4 + D4*Summary!$B$5</f>
        <v/>
      </c>
    </row>
    <row r="5">
      <c r="A5" s="8" t="n">
        <v>40121</v>
      </c>
      <c r="B5" s="9" t="n">
        <v>30.03</v>
      </c>
      <c r="C5" s="9" t="n">
        <v>26.554</v>
      </c>
      <c r="D5" s="9" t="n">
        <v>3.476</v>
      </c>
      <c r="E5" s="10">
        <f>C5*Summary!$B$4 + D5*Summary!$B$5</f>
        <v/>
      </c>
    </row>
    <row r="6">
      <c r="A6" s="8" t="n">
        <v>40122</v>
      </c>
      <c r="B6" s="9" t="n">
        <v>26.008</v>
      </c>
      <c r="C6" s="9" t="n">
        <v>21.076</v>
      </c>
      <c r="D6" s="9" t="n">
        <v>4.932</v>
      </c>
      <c r="E6" s="10">
        <f>C6*Summary!$B$4 + D6*Summary!$B$5</f>
        <v/>
      </c>
    </row>
    <row r="7">
      <c r="A7" s="8" t="n">
        <v>40123</v>
      </c>
      <c r="B7" s="9" t="n">
        <v>23.174</v>
      </c>
      <c r="C7" s="9" t="n">
        <v>20.246</v>
      </c>
      <c r="D7" s="9" t="n">
        <v>2.928</v>
      </c>
      <c r="E7" s="10">
        <f>C7*Summary!$B$4 + D7*Summary!$B$5</f>
        <v/>
      </c>
    </row>
    <row r="8">
      <c r="A8" s="8" t="n">
        <v>40124</v>
      </c>
      <c r="B8" s="9" t="n">
        <v>25.953</v>
      </c>
      <c r="C8" s="9" t="n">
        <v>21.298</v>
      </c>
      <c r="D8" s="9" t="n">
        <v>4.655</v>
      </c>
      <c r="E8" s="10">
        <f>C8*Summary!$B$4 + D8*Summary!$B$5</f>
        <v/>
      </c>
    </row>
    <row r="9">
      <c r="A9" s="8" t="n">
        <v>40125</v>
      </c>
      <c r="B9" s="9" t="n">
        <v>41.8</v>
      </c>
      <c r="C9" s="9" t="n">
        <v>35.64</v>
      </c>
      <c r="D9" s="9" t="n">
        <v>6.16</v>
      </c>
      <c r="E9" s="10">
        <f>C9*Summary!$B$4 + D9*Summary!$B$5</f>
        <v/>
      </c>
    </row>
    <row r="10">
      <c r="A10" s="8" t="n">
        <v>40126</v>
      </c>
      <c r="B10" s="9" t="n">
        <v>23.458</v>
      </c>
      <c r="C10" s="9" t="n">
        <v>19.792</v>
      </c>
      <c r="D10" s="9" t="n">
        <v>3.666</v>
      </c>
      <c r="E10" s="10">
        <f>C10*Summary!$B$4 + D10*Summary!$B$5</f>
        <v/>
      </c>
    </row>
    <row r="11">
      <c r="A11" s="8" t="n">
        <v>40127</v>
      </c>
      <c r="B11" s="9" t="n">
        <v>26.77</v>
      </c>
      <c r="C11" s="9" t="n">
        <v>22.617</v>
      </c>
      <c r="D11" s="9" t="n">
        <v>4.152</v>
      </c>
      <c r="E11" s="10">
        <f>C11*Summary!$B$4 + D11*Summary!$B$5</f>
        <v/>
      </c>
    </row>
    <row r="12">
      <c r="A12" s="8" t="n">
        <v>40128</v>
      </c>
      <c r="B12" s="9" t="n">
        <v>34.008</v>
      </c>
      <c r="C12" s="9" t="n">
        <v>28.913</v>
      </c>
      <c r="D12" s="9" t="n">
        <v>5.095</v>
      </c>
      <c r="E12" s="10">
        <f>C12*Summary!$B$4 + D12*Summary!$B$5</f>
        <v/>
      </c>
    </row>
    <row r="13">
      <c r="A13" s="8" t="n">
        <v>40129</v>
      </c>
      <c r="B13" s="9" t="n">
        <v>24.384</v>
      </c>
      <c r="C13" s="9" t="n">
        <v>20.49</v>
      </c>
      <c r="D13" s="9" t="n">
        <v>3.894</v>
      </c>
      <c r="E13" s="10">
        <f>C13*Summary!$B$4 + D13*Summary!$B$5</f>
        <v/>
      </c>
    </row>
    <row r="14">
      <c r="A14" s="8" t="n">
        <v>40130</v>
      </c>
      <c r="B14" s="9" t="n">
        <v>25.549</v>
      </c>
      <c r="C14" s="9" t="n">
        <v>21.5</v>
      </c>
      <c r="D14" s="9" t="n">
        <v>4.049</v>
      </c>
      <c r="E14" s="10">
        <f>C14*Summary!$B$4 + D14*Summary!$B$5</f>
        <v/>
      </c>
    </row>
    <row r="15">
      <c r="A15" s="8" t="n">
        <v>40131</v>
      </c>
      <c r="B15" s="9" t="n">
        <v>42.674</v>
      </c>
      <c r="C15" s="9" t="n">
        <v>34.693</v>
      </c>
      <c r="D15" s="9" t="n">
        <v>7.982</v>
      </c>
      <c r="E15" s="10">
        <f>C15*Summary!$B$4 + D15*Summary!$B$5</f>
        <v/>
      </c>
    </row>
    <row r="16">
      <c r="A16" s="8" t="n">
        <v>40132</v>
      </c>
      <c r="B16" s="9" t="n">
        <v>32.788</v>
      </c>
      <c r="C16" s="9" t="n">
        <v>24.236</v>
      </c>
      <c r="D16" s="9" t="n">
        <v>8.552</v>
      </c>
      <c r="E16" s="10">
        <f>C16*Summary!$B$4 + D16*Summary!$B$5</f>
        <v/>
      </c>
    </row>
    <row r="17">
      <c r="A17" s="8" t="n">
        <v>40133</v>
      </c>
      <c r="B17" s="9" t="n">
        <v>25.241</v>
      </c>
      <c r="C17" s="9" t="n">
        <v>20.027</v>
      </c>
      <c r="D17" s="9" t="n">
        <v>5.215</v>
      </c>
      <c r="E17" s="10">
        <f>C17*Summary!$B$4 + D17*Summary!$B$5</f>
        <v/>
      </c>
    </row>
    <row r="18">
      <c r="A18" s="8" t="n">
        <v>40134</v>
      </c>
      <c r="B18" s="9" t="n">
        <v>28.472</v>
      </c>
      <c r="C18" s="9" t="n">
        <v>24.564</v>
      </c>
      <c r="D18" s="9" t="n">
        <v>3.908</v>
      </c>
      <c r="E18" s="10">
        <f>C18*Summary!$B$4 + D18*Summary!$B$5</f>
        <v/>
      </c>
    </row>
    <row r="19">
      <c r="A19" s="8" t="n">
        <v>40135</v>
      </c>
      <c r="B19" s="9" t="n">
        <v>43.986</v>
      </c>
      <c r="C19" s="9" t="n">
        <v>39.475</v>
      </c>
      <c r="D19" s="9" t="n">
        <v>4.512</v>
      </c>
      <c r="E19" s="10">
        <f>C19*Summary!$B$4 + D19*Summary!$B$5</f>
        <v/>
      </c>
    </row>
    <row r="20">
      <c r="A20" s="8" t="n">
        <v>40136</v>
      </c>
      <c r="B20" s="9" t="n">
        <v>24.581</v>
      </c>
      <c r="C20" s="9" t="n">
        <v>19.979</v>
      </c>
      <c r="D20" s="9" t="n">
        <v>4.602</v>
      </c>
      <c r="E20" s="10">
        <f>C20*Summary!$B$4 + D20*Summary!$B$5</f>
        <v/>
      </c>
    </row>
    <row r="21">
      <c r="A21" s="8" t="n">
        <v>40137</v>
      </c>
      <c r="B21" s="9" t="n">
        <v>32.684</v>
      </c>
      <c r="C21" s="9" t="n">
        <v>27.578</v>
      </c>
      <c r="D21" s="9" t="n">
        <v>5.106</v>
      </c>
      <c r="E21" s="10">
        <f>C21*Summary!$B$4 + D21*Summary!$B$5</f>
        <v/>
      </c>
    </row>
    <row r="22">
      <c r="A22" s="8" t="n">
        <v>40138</v>
      </c>
      <c r="B22" s="9" t="n">
        <v>41.614</v>
      </c>
      <c r="C22" s="9" t="n">
        <v>33.666</v>
      </c>
      <c r="D22" s="9" t="n">
        <v>7.949</v>
      </c>
      <c r="E22" s="10">
        <f>C22*Summary!$B$4 + D22*Summary!$B$5</f>
        <v/>
      </c>
    </row>
    <row r="23">
      <c r="A23" s="8" t="n">
        <v>40139</v>
      </c>
      <c r="B23" s="9" t="n">
        <v>40.85</v>
      </c>
      <c r="C23" s="9" t="n">
        <v>32.996</v>
      </c>
      <c r="D23" s="9" t="n">
        <v>7.854</v>
      </c>
      <c r="E23" s="10">
        <f>C23*Summary!$B$4 + D23*Summary!$B$5</f>
        <v/>
      </c>
    </row>
    <row r="24">
      <c r="A24" s="8" t="n">
        <v>40140</v>
      </c>
      <c r="B24" s="9" t="n">
        <v>24.519</v>
      </c>
      <c r="C24" s="9" t="n">
        <v>18.885</v>
      </c>
      <c r="D24" s="9" t="n">
        <v>5.634</v>
      </c>
      <c r="E24" s="10">
        <f>C24*Summary!$B$4 + D24*Summary!$B$5</f>
        <v/>
      </c>
    </row>
    <row r="25">
      <c r="A25" s="8" t="n">
        <v>40141</v>
      </c>
      <c r="B25" s="9" t="n">
        <v>35.481</v>
      </c>
      <c r="C25" s="9" t="n">
        <v>29.297</v>
      </c>
      <c r="D25" s="9" t="n">
        <v>6.184</v>
      </c>
      <c r="E25" s="10">
        <f>C25*Summary!$B$4 + D25*Summary!$B$5</f>
        <v/>
      </c>
    </row>
    <row r="26">
      <c r="A26" s="8" t="n">
        <v>40142</v>
      </c>
      <c r="B26" s="9" t="n">
        <v>33.002</v>
      </c>
      <c r="C26" s="9" t="n">
        <v>29.452</v>
      </c>
      <c r="D26" s="9" t="n">
        <v>3.55</v>
      </c>
      <c r="E26" s="10">
        <f>C26*Summary!$B$4 + D26*Summary!$B$5</f>
        <v/>
      </c>
    </row>
    <row r="27">
      <c r="A27" s="8" t="n">
        <v>40143</v>
      </c>
      <c r="B27" s="9" t="n">
        <v>26.66</v>
      </c>
      <c r="C27" s="9" t="n">
        <v>22.872</v>
      </c>
      <c r="D27" s="9" t="n">
        <v>3.788</v>
      </c>
      <c r="E27" s="10">
        <f>C27*Summary!$B$4 + D27*Summary!$B$5</f>
        <v/>
      </c>
    </row>
    <row r="28">
      <c r="A28" s="8" t="n">
        <v>40144</v>
      </c>
      <c r="B28" s="9" t="n">
        <v>23</v>
      </c>
      <c r="C28" s="9" t="n">
        <v>18.171</v>
      </c>
      <c r="D28" s="9" t="n">
        <v>4.829</v>
      </c>
      <c r="E28" s="10">
        <f>C28*Summary!$B$4 + D28*Summary!$B$5</f>
        <v/>
      </c>
    </row>
    <row r="29">
      <c r="A29" s="8" t="n">
        <v>40145</v>
      </c>
      <c r="B29" s="9" t="n">
        <v>30.982</v>
      </c>
      <c r="C29" s="9" t="n">
        <v>26.135</v>
      </c>
      <c r="D29" s="9" t="n">
        <v>4.848</v>
      </c>
      <c r="E29" s="10">
        <f>C29*Summary!$B$4 + D29*Summary!$B$5</f>
        <v/>
      </c>
    </row>
    <row r="30">
      <c r="A30" s="8" t="n">
        <v>40146</v>
      </c>
      <c r="B30" s="9" t="n">
        <v>27.516</v>
      </c>
      <c r="C30" s="9" t="n">
        <v>23.784</v>
      </c>
      <c r="D30" s="9" t="n">
        <v>3.732</v>
      </c>
      <c r="E30" s="10">
        <f>C30*Summary!$B$4 + D30*Summary!$B$5</f>
        <v/>
      </c>
    </row>
    <row r="31">
      <c r="A31" s="8" t="n">
        <v>40147</v>
      </c>
      <c r="B31" s="9" t="n">
        <v>29.086</v>
      </c>
      <c r="C31" s="9" t="n">
        <v>23.984</v>
      </c>
      <c r="D31" s="9" t="n">
        <v>5.103</v>
      </c>
      <c r="E31" s="10">
        <f>C31*Summary!$B$4 + D31*Summary!$B$5</f>
        <v/>
      </c>
    </row>
    <row r="32">
      <c r="A32" s="2" t="inlineStr">
        <is>
          <t>Total</t>
        </is>
      </c>
      <c r="B32" s="11">
        <f>SUM(B2:B31)</f>
        <v/>
      </c>
      <c r="C32" s="11">
        <f>SUM(C2:C31)</f>
        <v/>
      </c>
      <c r="D32" s="11">
        <f>SUM(D2:D31)</f>
        <v/>
      </c>
      <c r="E32" s="12">
        <f>SUM(E2:E31)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3" t="inlineStr">
        <is>
          <t>Hour of day</t>
        </is>
      </c>
      <c r="B1" s="13" t="inlineStr">
        <is>
          <t>Average active power (kW)</t>
        </is>
      </c>
    </row>
    <row r="2">
      <c r="A2" t="n">
        <v>0</v>
      </c>
      <c r="B2" s="14" t="n">
        <v>0.612</v>
      </c>
    </row>
    <row r="3">
      <c r="A3" t="n">
        <v>1</v>
      </c>
      <c r="B3" s="14" t="n">
        <v>0.464</v>
      </c>
    </row>
    <row r="4">
      <c r="A4" t="n">
        <v>2</v>
      </c>
      <c r="B4" s="14" t="n">
        <v>0.396</v>
      </c>
    </row>
    <row r="5">
      <c r="A5" t="n">
        <v>3</v>
      </c>
      <c r="B5" s="14" t="n">
        <v>0.386</v>
      </c>
    </row>
    <row r="6">
      <c r="A6" t="n">
        <v>4</v>
      </c>
      <c r="B6" s="14" t="n">
        <v>0.383</v>
      </c>
    </row>
    <row r="7">
      <c r="A7" t="n">
        <v>5</v>
      </c>
      <c r="B7" s="14" t="n">
        <v>0.421</v>
      </c>
    </row>
    <row r="8">
      <c r="A8" t="n">
        <v>6</v>
      </c>
      <c r="B8" s="14" t="n">
        <v>0.718</v>
      </c>
    </row>
    <row r="9">
      <c r="A9" t="n">
        <v>7</v>
      </c>
      <c r="B9" s="14" t="n">
        <v>1.715</v>
      </c>
    </row>
    <row r="10">
      <c r="A10" t="n">
        <v>8</v>
      </c>
      <c r="B10" s="14" t="n">
        <v>1.65</v>
      </c>
    </row>
    <row r="11">
      <c r="A11" t="n">
        <v>9</v>
      </c>
      <c r="B11" s="14" t="n">
        <v>1.488</v>
      </c>
    </row>
    <row r="12">
      <c r="A12" t="n">
        <v>10</v>
      </c>
      <c r="B12" s="14" t="n">
        <v>1.45</v>
      </c>
    </row>
    <row r="13">
      <c r="A13" t="n">
        <v>11</v>
      </c>
      <c r="B13" s="14" t="n">
        <v>1.385</v>
      </c>
    </row>
    <row r="14">
      <c r="A14" t="n">
        <v>12</v>
      </c>
      <c r="B14" s="14" t="n">
        <v>1.373</v>
      </c>
    </row>
    <row r="15">
      <c r="A15" t="n">
        <v>13</v>
      </c>
      <c r="B15" s="14" t="n">
        <v>1.332</v>
      </c>
    </row>
    <row r="16">
      <c r="A16" t="n">
        <v>14</v>
      </c>
      <c r="B16" s="14" t="n">
        <v>1.16</v>
      </c>
    </row>
    <row r="17">
      <c r="A17" t="n">
        <v>15</v>
      </c>
      <c r="B17" s="14" t="n">
        <v>1.017</v>
      </c>
    </row>
    <row r="18">
      <c r="A18" t="n">
        <v>16</v>
      </c>
      <c r="B18" s="14" t="n">
        <v>1.185</v>
      </c>
    </row>
    <row r="19">
      <c r="A19" t="n">
        <v>17</v>
      </c>
      <c r="B19" s="14" t="n">
        <v>1.743</v>
      </c>
    </row>
    <row r="20">
      <c r="A20" t="n">
        <v>18</v>
      </c>
      <c r="B20" s="14" t="n">
        <v>2.055</v>
      </c>
    </row>
    <row r="21">
      <c r="A21" t="n">
        <v>19</v>
      </c>
      <c r="B21" s="14" t="n">
        <v>2.496</v>
      </c>
    </row>
    <row r="22">
      <c r="A22" t="n">
        <v>20</v>
      </c>
      <c r="B22" s="14" t="n">
        <v>2.604</v>
      </c>
    </row>
    <row r="23">
      <c r="A23" t="n">
        <v>21</v>
      </c>
      <c r="B23" s="14" t="n">
        <v>2.115</v>
      </c>
    </row>
    <row r="24">
      <c r="A24" t="n">
        <v>22</v>
      </c>
      <c r="B24" s="14" t="n">
        <v>1.557</v>
      </c>
    </row>
    <row r="25">
      <c r="A25" t="n">
        <v>23</v>
      </c>
      <c r="B25" s="14" t="n">
        <v>0.888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2026-05-17T02:04:58Z</dcterms:created>
  <dcterms:modified xsi:type="dcterms:W3CDTF">2026-05-17T02:04:58Z</dcterms:modified>
</cp:coreProperties>
</file>